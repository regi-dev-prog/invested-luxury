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Per Wear" sheetId="1" state="visible" r:id="rId3"/>
    <sheet name="Cost Per Sess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<sst xmlns="http://schemas.openxmlformats.org/spreadsheetml/2006/main" count="66" uniqueCount="53">
  <si>
    <t xml:space="preserve">Cost Per Wear Calculator</t>
  </si>
  <si>
    <t xml:space="preserve">What a garment or accessory actually costs you each time you use it.</t>
  </si>
  <si>
    <t xml:space="preserve">How to use this sheet</t>
  </si>
  <si>
    <t xml:space="preserve">Fill in only the shaded cells. Everything else calculates itself.</t>
  </si>
  <si>
    <t xml:space="preserve">Column B is a worked example. Replace it or use columns C and D for your own items.</t>
  </si>
  <si>
    <t xml:space="preserve">Resale value is what you expect to recover when you sell. Enter 0 if you plan to keep it.</t>
  </si>
  <si>
    <t xml:space="preserve">INPUTS</t>
  </si>
  <si>
    <t xml:space="preserve">Example</t>
  </si>
  <si>
    <t xml:space="preserve">Your item 1</t>
  </si>
  <si>
    <t xml:space="preserve">Your item 2</t>
  </si>
  <si>
    <t xml:space="preserve">Item name</t>
  </si>
  <si>
    <t xml:space="preserve">Vintage Fendi Baguette</t>
  </si>
  <si>
    <t xml:space="preserve">Purchase price</t>
  </si>
  <si>
    <t xml:space="preserve">Alterations, repairs or restoration</t>
  </si>
  <si>
    <t xml:space="preserve">Expected resale value</t>
  </si>
  <si>
    <t xml:space="preserve">Years you expect to own it</t>
  </si>
  <si>
    <t xml:space="preserve">Times worn per year</t>
  </si>
  <si>
    <t xml:space="preserve">Annual care cost (cleaning, storage, insurance)</t>
  </si>
  <si>
    <t xml:space="preserve">RESULTS</t>
  </si>
  <si>
    <t xml:space="preserve">Total acquisition cost</t>
  </si>
  <si>
    <t xml:space="preserve">Total care cost over ownership</t>
  </si>
  <si>
    <t xml:space="preserve">Net cost after resale</t>
  </si>
  <si>
    <t xml:space="preserve">Total wears</t>
  </si>
  <si>
    <t xml:space="preserve">Cost per wear</t>
  </si>
  <si>
    <t xml:space="preserve">Value retained on resale</t>
  </si>
  <si>
    <t xml:space="preserve">Cost per year of ownership</t>
  </si>
  <si>
    <t xml:space="preserve">Notes on the example figures</t>
  </si>
  <si>
    <t xml:space="preserve">The example uses a vintage beaded Fendi Baguette: $2,800 purchase, $450 restoration, $1,900 expected resale.</t>
  </si>
  <si>
    <t xml:space="preserve">These are illustrative figures, not a market quote. Replace them with your own numbers.</t>
  </si>
  <si>
    <t xml:space="preserve">Resale expectations should come from completed sale prices, not active listing prices.</t>
  </si>
  <si>
    <t xml:space="preserve">Cost Per Session Calculator</t>
  </si>
  <si>
    <t xml:space="preserve">What a piece of wellness equipment actually costs you each time you use it.</t>
  </si>
  <si>
    <t xml:space="preserve">Column B is a worked example. Replace it or use columns C and D for your own equipment.</t>
  </si>
  <si>
    <t xml:space="preserve">The comparison at the bottom shows the break-even point against paying per visit elsewhere.</t>
  </si>
  <si>
    <t xml:space="preserve">Equipment name</t>
  </si>
  <si>
    <t xml:space="preserve">Clearlight Red Light Tower</t>
  </si>
  <si>
    <t xml:space="preserve">Delivery and installation</t>
  </si>
  <si>
    <t xml:space="preserve">Years of expected service life</t>
  </si>
  <si>
    <t xml:space="preserve">Sessions per week</t>
  </si>
  <si>
    <t xml:space="preserve">Annual running cost (electricity, filters, parts)</t>
  </si>
  <si>
    <t xml:space="preserve">Annual service or warranty cost</t>
  </si>
  <si>
    <t xml:space="preserve">Total running cost over service life</t>
  </si>
  <si>
    <t xml:space="preserve">Total sessions</t>
  </si>
  <si>
    <t xml:space="preserve">Cost per session</t>
  </si>
  <si>
    <t xml:space="preserve">COMPARISON</t>
  </si>
  <si>
    <t xml:space="preserve">Comparable cost per visit elsewhere</t>
  </si>
  <si>
    <t xml:space="preserve">Annual spend if paying per visit</t>
  </si>
  <si>
    <t xml:space="preserve">Sessions needed to break even</t>
  </si>
  <si>
    <t xml:space="preserve">Months to break even</t>
  </si>
  <si>
    <t xml:space="preserve">Lifetime saving versus paying per visit</t>
  </si>
  <si>
    <t xml:space="preserve">The example uses a red light therapy tower: $2,100 purchase, $150 delivery, $700 expected resale over 7 years.</t>
  </si>
  <si>
    <t xml:space="preserve">The $40 comparison figure is a typical single-session studio rate. Substitute your local rate.</t>
  </si>
  <si>
    <t xml:space="preserve">Resale values for wellness equipment are less predictable than for fashion. Enter 0 if unsure.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</si>
</sst>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"/>
    <numFmt numFmtId="167" formatCode="\$#,##0.00;&quot;($&quot;#,##0.00\);\-"/>
    <numFmt numFmtId="168" formatCode="0.0%"/>
    <numFmt numFmtId="169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9E0"/>
        <bgColor rgb="FFFFFFFF"/>
      </patternFill>
    </fill>
    <fill>
      <patternFill patternType="solid">
        <fgColor rgb="FFEFEFEF"/>
        <bgColor rgb="FFFFF9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0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5" t="s">
        <v>6</v>
      </c>
      <c r="B9" s="6" t="s">
        <v>7</v>
      </c>
      <c r="C9" s="6" t="s">
        <v>8</v>
      </c>
      <c r="D9" s="6" t="s">
        <v>9</v>
      </c>
    </row>
    <row r="10" customFormat="false" ht="15" hidden="false" customHeight="false" outlineLevel="0" collapsed="false">
      <c r="A10" s="4" t="s">
        <v>10</v>
      </c>
      <c r="B10" s="7" t="s">
        <v>11</v>
      </c>
      <c r="C10" s="7"/>
      <c r="D10" s="7"/>
    </row>
    <row r="11" customFormat="false" ht="15" hidden="false" customHeight="false" outlineLevel="0" collapsed="false">
      <c r="A11" s="4" t="s">
        <v>12</v>
      </c>
      <c r="B11" s="8" t="n">
        <v>2800</v>
      </c>
      <c r="C11" s="8"/>
      <c r="D11" s="8"/>
    </row>
    <row r="12" customFormat="false" ht="15" hidden="false" customHeight="false" outlineLevel="0" collapsed="false">
      <c r="A12" s="4" t="s">
        <v>13</v>
      </c>
      <c r="B12" s="8" t="n">
        <v>450</v>
      </c>
      <c r="C12" s="8"/>
      <c r="D12" s="8"/>
    </row>
    <row r="13" customFormat="false" ht="15" hidden="false" customHeight="false" outlineLevel="0" collapsed="false">
      <c r="A13" s="4" t="s">
        <v>14</v>
      </c>
      <c r="B13" s="8" t="n">
        <v>1900</v>
      </c>
      <c r="C13" s="8"/>
      <c r="D13" s="8"/>
    </row>
    <row r="14" customFormat="false" ht="15" hidden="false" customHeight="false" outlineLevel="0" collapsed="false">
      <c r="A14" s="4" t="s">
        <v>15</v>
      </c>
      <c r="B14" s="9" t="n">
        <v>8</v>
      </c>
      <c r="C14" s="9"/>
      <c r="D14" s="9"/>
    </row>
    <row r="15" customFormat="false" ht="15" hidden="false" customHeight="false" outlineLevel="0" collapsed="false">
      <c r="A15" s="4" t="s">
        <v>16</v>
      </c>
      <c r="B15" s="9" t="n">
        <v>24</v>
      </c>
      <c r="C15" s="9"/>
      <c r="D15" s="9"/>
    </row>
    <row r="16" customFormat="false" ht="15" hidden="false" customHeight="false" outlineLevel="0" collapsed="false">
      <c r="A16" s="4" t="s">
        <v>17</v>
      </c>
      <c r="B16" s="8" t="n">
        <v>60</v>
      </c>
      <c r="C16" s="8"/>
      <c r="D16" s="8"/>
    </row>
    <row r="17" customFormat="false" ht="15" hidden="false" customHeight="false" outlineLevel="0" collapsed="false">
      <c r="A17" s="10" t="s">
        <v>18</v>
      </c>
      <c r="B17" s="10"/>
      <c r="C17" s="10"/>
      <c r="D17" s="10"/>
    </row>
    <row r="18" customFormat="false" ht="15" hidden="false" customHeight="false" outlineLevel="0" collapsed="false">
      <c r="A18" s="4" t="s">
        <v>19</v>
      </c>
    </row>
    <row r="19" customFormat="false" ht="15" hidden="false" customHeight="false" outlineLevel="0" collapsed="false">
      <c r="A19" s="4" t="s">
        <v>20</v>
      </c>
      <c r="B19" s="11" t="n">
        <f aca="false">IFERROR(B11+B12,"")</f>
        <v>3250</v>
      </c>
      <c r="C19" s="11" t="n">
        <f aca="false">IFERROR(C11+C12,"")</f>
        <v>0</v>
      </c>
      <c r="D19" s="11" t="n">
        <f aca="false">IFERROR(D11+D12,"")</f>
        <v>0</v>
      </c>
    </row>
    <row r="20" customFormat="false" ht="15" hidden="false" customHeight="false" outlineLevel="0" collapsed="false">
      <c r="A20" s="4" t="s">
        <v>21</v>
      </c>
      <c r="B20" s="11" t="n">
        <f aca="false">IFERROR(B16*B14,"")</f>
        <v>480</v>
      </c>
      <c r="C20" s="11" t="n">
        <f aca="false">IFERROR(C16*C14,"")</f>
        <v>0</v>
      </c>
      <c r="D20" s="11" t="n">
        <f aca="false">IFERROR(D16*D14,"")</f>
        <v>0</v>
      </c>
    </row>
    <row r="21" customFormat="false" ht="15" hidden="false" customHeight="false" outlineLevel="0" collapsed="false">
      <c r="A21" s="4" t="s">
        <v>22</v>
      </c>
      <c r="B21" s="11" t="n">
        <f aca="false">IFERROR(B19+B20-B13,"")</f>
        <v>1830</v>
      </c>
      <c r="C21" s="11" t="n">
        <f aca="false">IFERROR(C19+C20-C13,"")</f>
        <v>0</v>
      </c>
      <c r="D21" s="11" t="n">
        <f aca="false">IFERROR(D19+D20-D13,"")</f>
        <v>0</v>
      </c>
    </row>
    <row r="22" customFormat="false" ht="15" hidden="false" customHeight="false" outlineLevel="0" collapsed="false">
      <c r="A22" s="4" t="s">
        <v>23</v>
      </c>
      <c r="B22" s="12" t="n">
        <f aca="false">IFERROR(B14*B15,"")</f>
        <v>192</v>
      </c>
      <c r="C22" s="12" t="n">
        <f aca="false">IFERROR(C14*C15,"")</f>
        <v>0</v>
      </c>
      <c r="D22" s="12" t="n">
        <f aca="false">IFERROR(D14*D15,"")</f>
        <v>0</v>
      </c>
    </row>
    <row r="23" customFormat="false" ht="15" hidden="false" customHeight="false" outlineLevel="0" collapsed="false">
      <c r="A23" s="4" t="s">
        <v>24</v>
      </c>
      <c r="B23" s="13" t="n">
        <f aca="false">IF(N(B22)=0,"",B21/B22)</f>
        <v>9.53125</v>
      </c>
      <c r="C23" s="13" t="str">
        <f aca="false">IF(N(C22)=0,"",C21/C22)</f>
        <v/>
      </c>
      <c r="D23" s="13" t="str">
        <f aca="false">IF(N(D22)=0,"",D21/D22)</f>
        <v/>
      </c>
    </row>
    <row r="24" customFormat="false" ht="15" hidden="false" customHeight="false" outlineLevel="0" collapsed="false">
      <c r="A24" s="4" t="s">
        <v>25</v>
      </c>
      <c r="B24" s="14" t="n">
        <f aca="false">IF(N(B19)=0,"",B13/B19)</f>
        <v>0.584615384615385</v>
      </c>
      <c r="C24" s="14" t="str">
        <f aca="false">IF(N(C19)=0,"",C13/C19)</f>
        <v/>
      </c>
      <c r="D24" s="14" t="str">
        <f aca="false">IF(N(D19)=0,"",D13/D19)</f>
        <v/>
      </c>
    </row>
    <row r="25" customFormat="false" ht="15" hidden="false" customHeight="false" outlineLevel="0" collapsed="false">
      <c r="B25" s="11" t="n">
        <f aca="false">IF(N(B14)=0,"",B21/B14)</f>
        <v>228.75</v>
      </c>
      <c r="C25" s="11" t="str">
        <f aca="false">IF(N(C14)=0,"",C21/C14)</f>
        <v/>
      </c>
      <c r="D25" s="11" t="str">
        <f aca="false">IF(N(D14)=0,"",D21/D14)</f>
        <v/>
      </c>
    </row>
    <row r="27" customFormat="false" ht="15" hidden="false" customHeight="false" outlineLevel="0" collapsed="false">
      <c r="A27" s="3" t="s">
        <v>26</v>
      </c>
    </row>
    <row r="28" customFormat="false" ht="15" hidden="false" customHeight="false" outlineLevel="0" collapsed="false">
      <c r="A28" s="2" t="s">
        <v>27</v>
      </c>
    </row>
    <row r="29" customFormat="false" ht="15" hidden="false" customHeight="false" outlineLevel="0" collapsed="false">
      <c r="A29" s="2" t="s">
        <v>28</v>
      </c>
    </row>
    <row r="30" customFormat="false" ht="15" hidden="false" customHeight="false" outlineLevel="0" collapsed="false">
      <c r="A30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2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32</v>
      </c>
    </row>
    <row r="7" customFormat="false" ht="15" hidden="false" customHeight="false" outlineLevel="0" collapsed="false">
      <c r="A7" s="4" t="s">
        <v>33</v>
      </c>
    </row>
    <row r="9" customFormat="false" ht="15" hidden="false" customHeight="false" outlineLevel="0" collapsed="false">
      <c r="A9" s="10" t="s">
        <v>6</v>
      </c>
      <c r="B9" s="6" t="s">
        <v>7</v>
      </c>
      <c r="C9" s="6" t="s">
        <v>8</v>
      </c>
      <c r="D9" s="6" t="s">
        <v>9</v>
      </c>
    </row>
    <row r="10" customFormat="false" ht="15" hidden="false" customHeight="false" outlineLevel="0" collapsed="false">
      <c r="A10" s="4" t="s">
        <v>34</v>
      </c>
      <c r="B10" s="7" t="s">
        <v>35</v>
      </c>
      <c r="C10" s="7"/>
      <c r="D10" s="7"/>
    </row>
    <row r="11" customFormat="false" ht="15" hidden="false" customHeight="false" outlineLevel="0" collapsed="false">
      <c r="A11" s="4" t="s">
        <v>12</v>
      </c>
      <c r="B11" s="8" t="n">
        <v>2100</v>
      </c>
      <c r="C11" s="8"/>
      <c r="D11" s="8"/>
    </row>
    <row r="12" customFormat="false" ht="15" hidden="false" customHeight="false" outlineLevel="0" collapsed="false">
      <c r="A12" s="4" t="s">
        <v>36</v>
      </c>
      <c r="B12" s="8" t="n">
        <v>150</v>
      </c>
      <c r="C12" s="8"/>
      <c r="D12" s="8"/>
    </row>
    <row r="13" customFormat="false" ht="15" hidden="false" customHeight="false" outlineLevel="0" collapsed="false">
      <c r="A13" s="4" t="s">
        <v>14</v>
      </c>
      <c r="B13" s="8" t="n">
        <v>700</v>
      </c>
      <c r="C13" s="8"/>
      <c r="D13" s="8"/>
    </row>
    <row r="14" customFormat="false" ht="15" hidden="false" customHeight="false" outlineLevel="0" collapsed="false">
      <c r="A14" s="4" t="s">
        <v>37</v>
      </c>
      <c r="B14" s="9" t="n">
        <v>7</v>
      </c>
      <c r="C14" s="9"/>
      <c r="D14" s="9"/>
    </row>
    <row r="15" customFormat="false" ht="15" hidden="false" customHeight="false" outlineLevel="0" collapsed="false">
      <c r="A15" s="4" t="s">
        <v>38</v>
      </c>
      <c r="B15" s="9" t="n">
        <v>4</v>
      </c>
      <c r="C15" s="9"/>
      <c r="D15" s="9"/>
    </row>
    <row r="16" customFormat="false" ht="15" hidden="false" customHeight="false" outlineLevel="0" collapsed="false">
      <c r="A16" s="4" t="s">
        <v>39</v>
      </c>
      <c r="B16" s="8" t="n">
        <v>45</v>
      </c>
      <c r="C16" s="8"/>
      <c r="D16" s="8"/>
    </row>
    <row r="17" customFormat="false" ht="15" hidden="false" customHeight="false" outlineLevel="0" collapsed="false">
      <c r="A17" s="4" t="s">
        <v>40</v>
      </c>
      <c r="B17" s="8" t="n">
        <v>0</v>
      </c>
      <c r="C17" s="8"/>
      <c r="D17" s="8"/>
    </row>
    <row r="19" customFormat="false" ht="15" hidden="false" customHeight="false" outlineLevel="0" collapsed="false">
      <c r="A19" s="10" t="s">
        <v>18</v>
      </c>
      <c r="B19" s="10"/>
      <c r="C19" s="10"/>
      <c r="D19" s="10"/>
    </row>
    <row r="20" customFormat="false" ht="15" hidden="false" customHeight="false" outlineLevel="0" collapsed="false">
      <c r="A20" s="4" t="s">
        <v>19</v>
      </c>
      <c r="B20" s="11" t="n">
        <f aca="false">IFERROR(B11+B12,"")</f>
        <v>2250</v>
      </c>
      <c r="C20" s="11" t="n">
        <f aca="false">IFERROR(C11+C12,"")</f>
        <v>0</v>
      </c>
      <c r="D20" s="11" t="n">
        <f aca="false">IFERROR(D11+D12,"")</f>
        <v>0</v>
      </c>
    </row>
    <row r="21" customFormat="false" ht="15" hidden="false" customHeight="false" outlineLevel="0" collapsed="false">
      <c r="A21" s="4" t="s">
        <v>41</v>
      </c>
      <c r="B21" s="11" t="n">
        <f aca="false">IFERROR((B16+B17)*B14,"")</f>
        <v>315</v>
      </c>
      <c r="C21" s="11" t="n">
        <f aca="false">IFERROR((C16+C17)*C14,"")</f>
        <v>0</v>
      </c>
      <c r="D21" s="11" t="n">
        <f aca="false">IFERROR((D16+D17)*D14,"")</f>
        <v>0</v>
      </c>
    </row>
    <row r="22" customFormat="false" ht="15" hidden="false" customHeight="false" outlineLevel="0" collapsed="false">
      <c r="A22" s="4" t="s">
        <v>21</v>
      </c>
      <c r="B22" s="11" t="n">
        <f aca="false">IFERROR(B20+B21-B13,"")</f>
        <v>1865</v>
      </c>
      <c r="C22" s="11" t="n">
        <f aca="false">IFERROR(C20+C21-C13,"")</f>
        <v>0</v>
      </c>
      <c r="D22" s="11" t="n">
        <f aca="false">IFERROR(D20+D21-D13,"")</f>
        <v>0</v>
      </c>
    </row>
    <row r="23" customFormat="false" ht="15" hidden="false" customHeight="false" outlineLevel="0" collapsed="false">
      <c r="A23" s="4" t="s">
        <v>42</v>
      </c>
      <c r="B23" s="12" t="n">
        <f aca="false">IFERROR(B15*52*B14,"")</f>
        <v>1456</v>
      </c>
      <c r="C23" s="12" t="n">
        <f aca="false">IFERROR(C15*52*C14,"")</f>
        <v>0</v>
      </c>
      <c r="D23" s="12" t="n">
        <f aca="false">IFERROR(D15*52*D14,"")</f>
        <v>0</v>
      </c>
    </row>
    <row r="24" customFormat="false" ht="15" hidden="false" customHeight="false" outlineLevel="0" collapsed="false">
      <c r="A24" s="4" t="s">
        <v>43</v>
      </c>
      <c r="B24" s="13" t="n">
        <f aca="false">IF(N(B23)=0,"",B22/B23)</f>
        <v>1.28090659340659</v>
      </c>
      <c r="C24" s="13" t="str">
        <f aca="false">IF(N(C23)=0,"",C22/C23)</f>
        <v/>
      </c>
      <c r="D24" s="13" t="str">
        <f aca="false">IF(N(D23)=0,"",D22/D23)</f>
        <v/>
      </c>
    </row>
    <row r="25" customFormat="false" ht="15" hidden="false" customHeight="false" outlineLevel="0" collapsed="false">
      <c r="A25" s="4" t="s">
        <v>25</v>
      </c>
      <c r="B25" s="11" t="n">
        <f aca="false">IF(N(B14)=0,"",B22/B14)</f>
        <v>266.428571428571</v>
      </c>
      <c r="C25" s="11" t="str">
        <f aca="false">IF(N(C14)=0,"",C22/C14)</f>
        <v/>
      </c>
      <c r="D25" s="11" t="str">
        <f aca="false">IF(N(D14)=0,"",D22/D14)</f>
        <v/>
      </c>
    </row>
    <row r="27" customFormat="false" ht="15" hidden="false" customHeight="false" outlineLevel="0" collapsed="false">
      <c r="A27" s="10" t="s">
        <v>44</v>
      </c>
      <c r="B27" s="10"/>
      <c r="C27" s="10"/>
      <c r="D27" s="10"/>
    </row>
    <row r="28" customFormat="false" ht="15" hidden="false" customHeight="false" outlineLevel="0" collapsed="false">
      <c r="A28" s="4" t="s">
        <v>45</v>
      </c>
      <c r="B28" s="8" t="n">
        <v>40</v>
      </c>
      <c r="C28" s="8"/>
      <c r="D28" s="8"/>
    </row>
    <row r="29" customFormat="false" ht="15" hidden="false" customHeight="false" outlineLevel="0" collapsed="false">
      <c r="A29" s="4" t="s">
        <v>46</v>
      </c>
      <c r="B29" s="11" t="n">
        <f aca="false">IFERROR(B15*52*B28,"")</f>
        <v>8320</v>
      </c>
      <c r="C29" s="11" t="n">
        <f aca="false">IFERROR(C15*52*C28,"")</f>
        <v>0</v>
      </c>
      <c r="D29" s="11" t="n">
        <f aca="false">IFERROR(D15*52*D28,"")</f>
        <v>0</v>
      </c>
    </row>
    <row r="30" customFormat="false" ht="15" hidden="false" customHeight="false" outlineLevel="0" collapsed="false">
      <c r="A30" s="4" t="s">
        <v>47</v>
      </c>
      <c r="B30" s="12" t="n">
        <f aca="false">IF(N(B28)=0,"",B22/B28)</f>
        <v>46.625</v>
      </c>
      <c r="C30" s="12" t="str">
        <f aca="false">IF(N(C28)=0,"",C22/C28)</f>
        <v/>
      </c>
      <c r="D30" s="12" t="str">
        <f aca="false">IF(N(D28)=0,"",D22/D28)</f>
        <v/>
      </c>
    </row>
    <row r="31" customFormat="false" ht="15" hidden="false" customHeight="false" outlineLevel="0" collapsed="false">
      <c r="A31" s="4" t="s">
        <v>48</v>
      </c>
      <c r="B31" s="15" t="n">
        <f aca="false">IF(N(B29)=0,"",B22/B29*12)</f>
        <v>2.68990384615385</v>
      </c>
      <c r="C31" s="15" t="str">
        <f aca="false">IF(N(C29)=0,"",C22/C29*12)</f>
        <v/>
      </c>
      <c r="D31" s="15" t="str">
        <f aca="false">IF(N(D29)=0,"",D22/D29*12)</f>
        <v/>
      </c>
    </row>
    <row r="32" customFormat="false" ht="15" hidden="false" customHeight="false" outlineLevel="0" collapsed="false">
      <c r="A32" s="4" t="s">
        <v>49</v>
      </c>
      <c r="B32" s="16" t="n">
        <f aca="false">IFERROR(B29*B14-B22,"")</f>
        <v>56375</v>
      </c>
      <c r="C32" s="16" t="n">
        <f aca="false">IFERROR(C29*C14-C22,"")</f>
        <v>0</v>
      </c>
      <c r="D32" s="16" t="n">
        <f aca="false">IFERROR(D29*D14-D22,"")</f>
        <v>0</v>
      </c>
    </row>
    <row r="34" customFormat="false" ht="15" hidden="false" customHeight="false" outlineLevel="0" collapsed="false">
      <c r="A34" s="3" t="s">
        <v>26</v>
      </c>
    </row>
    <row r="35" customFormat="false" ht="15" hidden="false" customHeight="false" outlineLevel="0" collapsed="false">
      <c r="A35" s="2" t="s">
        <v>50</v>
      </c>
    </row>
    <row r="36" customFormat="false" ht="15" hidden="false" customHeight="false" outlineLevel="0" collapsed="false">
      <c r="A36" s="2" t="s">
        <v>51</v>
      </c>
    </row>
    <row r="37" customFormat="false" ht="15" hidden="false" customHeight="false" outlineLevel="0" collapsed="false">
      <c r="A37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2026-08-24T06:13:31Z</dcterms:created>
  <dc:creator>openpyxl</dc:creator>
  <dc:description/>
  <dc:language>en-US</dc:language>
  <cp:lastModifiedBy/>
  <dcterms:modified xsi:type="dcterms:W3CDTF">2026-08-24T06:13:31Z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